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Submission" sheetId="4" state="visible" r:id="rId4"/>
    <sheet xmlns:r="http://schemas.openxmlformats.org/officeDocument/2006/relationships" name="Bonus" sheetId="5" state="visible" r:id="rId5"/>
  </sheets>
  <definedNames>
    <definedName name="_xlnm._FilterDatabase" localSheetId="1" hidden="1">'Tasks'!$A$4:$G$52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d&quot;, &quot;dd\ mmm\ yyyy"/>
  </numFmts>
  <fonts count="10">
    <font>
      <name val="Calibri"/>
      <color theme="1"/>
      <sz val="11"/>
      <scheme val="minor"/>
    </font>
    <font>
      <name val="Arial"/>
      <b val="1"/>
      <color rgb="FF1F3864"/>
      <sz val="14"/>
    </font>
    <font>
      <name val="Arial"/>
      <i val="1"/>
      <color theme="1"/>
      <sz val="9"/>
    </font>
    <font>
      <name val="Arial"/>
      <i val="1"/>
      <color theme="1"/>
      <sz val="10"/>
    </font>
    <font>
      <name val="Arial"/>
      <b val="1"/>
      <color theme="1"/>
      <sz val="10"/>
    </font>
    <font>
      <name val="Arial"/>
      <b val="1"/>
      <color rgb="FFFFFFFF"/>
      <sz val="10"/>
    </font>
    <font>
      <name val="Arial"/>
      <color rgb="FF0000FF"/>
      <sz val="10"/>
    </font>
    <font>
      <name val="Arial"/>
      <color theme="1"/>
      <sz val="10"/>
    </font>
    <font>
      <name val="Arial"/>
      <b val="1"/>
      <color rgb="FF1F3864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horizontal="center" vertical="bottom"/>
    </xf>
    <xf numFmtId="1" fontId="7" fillId="0" borderId="1" applyAlignment="1" pivotButton="0" quotePrefix="0" xfId="0">
      <alignment horizontal="center" vertical="top" wrapText="1"/>
    </xf>
    <xf numFmtId="1" fontId="7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164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1" fontId="4" fillId="3" borderId="1" applyAlignment="1" pivotButton="0" quotePrefix="0" xfId="0">
      <alignment horizontal="center" vertical="top" wrapText="1"/>
    </xf>
    <xf numFmtId="9" fontId="7" fillId="0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9" fontId="4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3">
    <dxf>
      <font>
        <name val="Arial"/>
        <color rgb="FF006100"/>
      </font>
      <fill>
        <patternFill patternType="solid">
          <fgColor rgb="FFC6EFCE"/>
          <bgColor rgb="FFC6EFCE"/>
        </patternFill>
      </fill>
      <border/>
    </dxf>
    <dxf>
      <font>
        <name val="Arial"/>
        <color rgb="FF9C5700"/>
      </font>
      <fill>
        <patternFill patternType="solid">
          <fgColor rgb="FFFFEB9C"/>
          <bgColor rgb="FFFFEB9C"/>
        </patternFill>
      </fill>
      <border/>
    </dxf>
    <dxf>
      <font>
        <name val="Arial"/>
        <b val="1"/>
        <color rgb="FFC0000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ColWidth="14.43" defaultRowHeight="15" customHeight="1"/>
  <cols>
    <col width="44" customWidth="1" style="30" min="1" max="1"/>
    <col width="58" customWidth="1" style="30" min="2" max="2"/>
    <col width="42" customWidth="1" style="30" min="3" max="3"/>
    <col width="9" customWidth="1" style="30" min="4" max="5"/>
    <col width="13" customWidth="1" style="30" min="6" max="6"/>
    <col width="8.710000000000001" customWidth="1" style="30" min="7" max="26"/>
  </cols>
  <sheetData>
    <row r="1">
      <c r="A1" s="1" t="inlineStr">
        <is>
          <t>Mathematical Modelling Group Project: Project Tracker</t>
        </is>
      </c>
    </row>
    <row r="2">
      <c r="A2" s="3" t="inlineStr">
        <is>
          <t>PINN for parameter estimation and hidden-state recovery in an SEIRD model with time-varying transmission</t>
        </is>
      </c>
    </row>
    <row r="3">
      <c r="A3" s="4" t="inlineStr">
        <is>
          <t>Presentation date (input)</t>
        </is>
      </c>
      <c r="B3" s="6" t="n">
        <v>46327</v>
      </c>
      <c r="C3" s="2" t="inlineStr">
        <is>
          <t>Blue text on yellow = input. Change it and the Timeline updates.</t>
        </is>
      </c>
    </row>
    <row r="4">
      <c r="A4" s="4" t="inlineStr">
        <is>
          <t>Submission deadline (presentation minus 7 days)</t>
        </is>
      </c>
      <c r="B4" s="12">
        <f>B3-7</f>
        <v/>
      </c>
      <c r="C4" s="2" t="inlineStr">
        <is>
          <t>PDF: files due at least one week before the scheduled presentation.</t>
        </is>
      </c>
    </row>
    <row r="5">
      <c r="A5" s="4" t="inlineStr">
        <is>
          <t>Days to submission</t>
        </is>
      </c>
      <c r="B5" s="14">
        <f>B4-TODAY()</f>
        <v/>
      </c>
    </row>
    <row r="6">
      <c r="A6" s="4" t="inlineStr">
        <is>
          <t>Days to presentation</t>
        </is>
      </c>
      <c r="B6" s="14">
        <f>B3-TODAY()</f>
        <v/>
      </c>
    </row>
    <row r="8">
      <c r="A8" s="15" t="inlineStr">
        <is>
          <t>Members, roles and progress</t>
        </is>
      </c>
    </row>
    <row r="9">
      <c r="A9" s="5" t="inlineStr">
        <is>
          <t>Member</t>
        </is>
      </c>
      <c r="B9" s="5" t="inlineStr">
        <is>
          <t>Role</t>
        </is>
      </c>
      <c r="C9" s="5" t="inlineStr">
        <is>
          <t>Bonus evidence owned</t>
        </is>
      </c>
      <c r="D9" s="5" t="inlineStr">
        <is>
          <t>Tasks</t>
        </is>
      </c>
      <c r="E9" s="5" t="inlineStr">
        <is>
          <t>Done</t>
        </is>
      </c>
      <c r="F9" s="5" t="inlineStr">
        <is>
          <t>% complete</t>
        </is>
      </c>
    </row>
    <row r="10">
      <c r="A10" s="17" t="inlineStr">
        <is>
          <t>M1</t>
        </is>
      </c>
      <c r="B10" s="9" t="inlineStr">
        <is>
          <t>Motivation and model; first drafts of full notebook and LaTeX report; final integration and submission</t>
        </is>
      </c>
      <c r="C10" s="9" t="inlineStr">
        <is>
          <t>Cited sources, methodology write-up</t>
        </is>
      </c>
      <c r="D10" s="8">
        <f>COUNTIF(Tasks!$B$5:$B$72,A10)</f>
        <v/>
      </c>
      <c r="E10" s="8" t="n">
        <v>10</v>
      </c>
      <c r="F10" s="21" t="n">
        <v>1</v>
      </c>
    </row>
    <row r="11">
      <c r="A11" s="17" t="inlineStr">
        <is>
          <t>M2</t>
        </is>
      </c>
      <c r="B11" s="9" t="inlineStr">
        <is>
          <t>Analysis: R0, stability, final size, sensitivity</t>
        </is>
      </c>
      <c r="C11" s="9" t="inlineStr">
        <is>
          <t>Analytic validation (final-size check)</t>
        </is>
      </c>
      <c r="D11" s="8">
        <f>COUNTIF(Tasks!$B$5:$B$72,A11)</f>
        <v/>
      </c>
      <c r="E11" s="8">
        <f>COUNTIFS(Tasks!$B$5:$B$72,A11,Tasks!$F$5:$F$72,"Done")</f>
        <v/>
      </c>
      <c r="F11" s="21">
        <f>IF(D11=0,0,E11/D11)</f>
        <v/>
      </c>
    </row>
    <row r="12">
      <c r="A12" s="17" t="inlineStr">
        <is>
          <t>M3</t>
        </is>
      </c>
      <c r="B12" s="9" t="inlineStr">
        <is>
          <t>Numerical methods and E1 (Euler, RK4, reference solver)</t>
        </is>
      </c>
      <c r="C12" s="9" t="inlineStr">
        <is>
          <t>Convergence rates, reference solver</t>
        </is>
      </c>
      <c r="D12" s="8">
        <f>COUNTIF(Tasks!$B$5:$B$72,A12)</f>
        <v/>
      </c>
      <c r="E12" s="8">
        <f>COUNTIFS(Tasks!$B$5:$B$72,A12,Tasks!$F$5:$F$72,"Done")</f>
        <v/>
      </c>
      <c r="F12" s="21">
        <f>IF(D12=0,0,E12/D12)</f>
        <v/>
      </c>
    </row>
    <row r="13">
      <c r="A13" s="17" t="inlineStr">
        <is>
          <t>M4</t>
        </is>
      </c>
      <c r="B13" s="9" t="inlineStr">
        <is>
          <t>PINN design and synthetic validation (E2-E4)</t>
        </is>
      </c>
      <c r="C13" s="9" t="inlineStr">
        <is>
          <t>Ground-truth validation, relative L2 error</t>
        </is>
      </c>
      <c r="D13" s="8">
        <f>COUNTIF(Tasks!$B$5:$B$72,A13)</f>
        <v/>
      </c>
      <c r="E13" s="8">
        <f>COUNTIFS(Tasks!$B$5:$B$72,A13,Tasks!$F$5:$F$72,"Done")</f>
        <v/>
      </c>
      <c r="F13" s="21">
        <f>IF(D13=0,0,E13/D13)</f>
        <v/>
      </c>
    </row>
    <row r="14">
      <c r="A14" s="17" t="inlineStr">
        <is>
          <t>M5</t>
        </is>
      </c>
      <c r="B14" s="9" t="inlineStr">
        <is>
          <t>Real-data results, comparison and limitations (E5)</t>
        </is>
      </c>
      <c r="C14" s="9" t="inlineStr">
        <is>
          <t>Held-out forecast, MAE, RMSE, relative error</t>
        </is>
      </c>
      <c r="D14" s="8">
        <f>COUNTIF(Tasks!$B$5:$B$72,A14)</f>
        <v/>
      </c>
      <c r="E14" s="8">
        <f>COUNTIFS(Tasks!$B$5:$B$72,A14,Tasks!$F$5:$F$72,"Done")</f>
        <v/>
      </c>
      <c r="F14" s="21">
        <f>IF(D14=0,0,E14/D14)</f>
        <v/>
      </c>
    </row>
    <row r="15">
      <c r="A15" s="17" t="inlineStr">
        <is>
          <t>All</t>
        </is>
      </c>
      <c r="B15" s="9" t="inlineStr">
        <is>
          <t>Shared tasks: AI-use log, read-through, rehearsals</t>
        </is>
      </c>
      <c r="C15" s="9" t="inlineStr">
        <is>
          <t>AI acknowledgement, explainability</t>
        </is>
      </c>
      <c r="D15" s="8">
        <f>COUNTIF(Tasks!$B$5:$B$72,A15)</f>
        <v/>
      </c>
      <c r="E15" s="8">
        <f>COUNTIFS(Tasks!$B$5:$B$72,A15,Tasks!$F$5:$F$72,"Done")</f>
        <v/>
      </c>
      <c r="F15" s="21">
        <f>IF(D15=0,0,E15/D15)</f>
        <v/>
      </c>
    </row>
    <row r="16">
      <c r="A16" s="23" t="inlineStr">
        <is>
          <t>Total</t>
        </is>
      </c>
      <c r="B16" s="24" t="n"/>
      <c r="C16" s="24" t="n"/>
      <c r="D16" s="23">
        <f>SUM(D10:D15)</f>
        <v/>
      </c>
      <c r="E16" s="23">
        <f>SUM(E10:E15)</f>
        <v/>
      </c>
      <c r="F16" s="25">
        <f>IF(D16=0,0,E16/D16)</f>
        <v/>
      </c>
    </row>
    <row r="18">
      <c r="A18" s="15" t="inlineStr">
        <is>
          <t>Other checklists</t>
        </is>
      </c>
    </row>
    <row r="19">
      <c r="A19" s="5" t="inlineStr">
        <is>
          <t>Checklist</t>
        </is>
      </c>
      <c r="B19" s="5" t="inlineStr">
        <is>
          <t>Sheet</t>
        </is>
      </c>
      <c r="C19" s="5" t="n"/>
      <c r="D19" s="5" t="inlineStr">
        <is>
          <t>Items</t>
        </is>
      </c>
      <c r="E19" s="5" t="inlineStr">
        <is>
          <t>Done</t>
        </is>
      </c>
      <c r="F19" s="5" t="inlineStr">
        <is>
          <t>% complete</t>
        </is>
      </c>
    </row>
    <row r="20">
      <c r="A20" s="26" t="inlineStr">
        <is>
          <t>Submission checklist</t>
        </is>
      </c>
      <c r="B20" s="9" t="inlineStr">
        <is>
          <t>Submission</t>
        </is>
      </c>
      <c r="C20" s="9" t="n"/>
      <c r="D20" s="8">
        <f>COUNTA(Submission!$E$5:$E$15)</f>
        <v/>
      </c>
      <c r="E20" s="8">
        <f>COUNTIF(Submission!$E$5:$E$15,"Done")</f>
        <v/>
      </c>
      <c r="F20" s="21">
        <f>IF(D20=0,0,E20/D20)</f>
        <v/>
      </c>
    </row>
    <row r="21" ht="15.75" customHeight="1" s="30">
      <c r="A21" s="26" t="inlineStr">
        <is>
          <t>Bonus evidence</t>
        </is>
      </c>
      <c r="B21" s="9" t="inlineStr">
        <is>
          <t>Bonus</t>
        </is>
      </c>
      <c r="C21" s="9" t="n"/>
      <c r="D21" s="8">
        <f>COUNTA(Bonus!$E$5:$E$13)</f>
        <v/>
      </c>
      <c r="E21" s="8">
        <f>COUNTIF(Bonus!$E$5:$E$13,"Done")</f>
        <v/>
      </c>
      <c r="F21" s="21">
        <f>IF(D21=0,0,E21/D21)</f>
        <v/>
      </c>
    </row>
    <row r="22" ht="15.75" customHeight="1" s="30"/>
    <row r="23" ht="15.75" customHeight="1" s="30">
      <c r="A23" s="15" t="inlineStr">
        <is>
          <t>Shared conventions (every member and every AI agent)</t>
        </is>
      </c>
    </row>
    <row r="24" ht="15.75" customHeight="1" s="30">
      <c r="A24" s="27" t="inlineStr">
        <is>
          <t>1.</t>
        </is>
      </c>
      <c r="B24" s="28" t="inlineStr">
        <is>
          <t>Model: SEIRD with s, e, i, r, d as fractions of N. sigma and gamma fixed from the literature; beta(t), mu and initial conditions estimated.</t>
        </is>
      </c>
    </row>
    <row r="25" ht="15.75" customHeight="1" s="30">
      <c r="A25" s="27" t="inlineStr">
        <is>
          <t>2.</t>
        </is>
      </c>
      <c r="B25" s="28" t="inlineStr">
        <is>
          <t>Parameter names everywhere: beta, sigma, gamma, mu. Time in days.</t>
        </is>
      </c>
    </row>
    <row r="26" ht="15.75" customHeight="1" s="30">
      <c r="A26" s="27" t="inlineStr">
        <is>
          <t>3.</t>
        </is>
      </c>
      <c r="B26" s="28" t="inlineStr">
        <is>
          <t>Files: notebook.ipynb, report/main.tex, refs.bib, data/, figs/. Random seed 42.</t>
        </is>
      </c>
    </row>
    <row r="27" ht="15.75" customHeight="1" s="30">
      <c r="A27" s="27" t="inlineStr">
        <is>
          <t>4.</t>
        </is>
      </c>
      <c r="B27" s="28" t="inlineStr">
        <is>
          <t>All figures saved as .eps with no transparency (no alpha in plots).</t>
        </is>
      </c>
    </row>
    <row r="28" ht="15.75" customHeight="1" s="30">
      <c r="A28" s="27" t="inlineStr">
        <is>
          <t>5.</t>
        </is>
      </c>
      <c r="B28" s="28" t="inlineStr">
        <is>
          <t>Metrics: MAE, RMSE, relative error, relative L2 error, computed on the held-out window only.</t>
        </is>
      </c>
    </row>
    <row r="29" ht="15.75" customHeight="1" s="30">
      <c r="A29" s="27" t="inlineStr">
        <is>
          <t>6.</t>
        </is>
      </c>
      <c r="B29" s="28" t="inlineStr">
        <is>
          <t>Training/calibration data must never include the held-out forecast window.</t>
        </is>
      </c>
    </row>
    <row r="30" ht="15.75" customHeight="1" s="30">
      <c r="A30" s="27" t="inlineStr">
        <is>
          <t>7.</t>
        </is>
      </c>
      <c r="B30" s="28" t="inlineStr">
        <is>
          <t>Each member logs AI tools used and their role, and sends the log to M1 (acknowledgement section).</t>
        </is>
      </c>
    </row>
    <row r="31" ht="15.75" customHeight="1" s="30"/>
    <row r="32" ht="15.75" customHeight="1" s="30">
      <c r="A32" s="15" t="inlineStr">
        <is>
          <t>Risk</t>
        </is>
      </c>
    </row>
    <row r="33" ht="15.75" customHeight="1" s="30">
      <c r="A33" s="29" t="inlineStr">
        <is>
          <t>M1 is the bottleneck. If v1 slips past Friday night, cut the ablation and reduce seeds. Keep the held-out forecast and the baselines; the bonus depends on them.</t>
        </is>
      </c>
    </row>
    <row r="34" ht="15.75" customHeight="1" s="30"/>
    <row r="35" ht="15.75" customHeight="1" s="30"/>
    <row r="36" ht="15.75" customHeight="1" s="30"/>
    <row r="37" ht="15.75" customHeight="1" s="30"/>
    <row r="38" ht="15.75" customHeight="1" s="30"/>
    <row r="39" ht="15.75" customHeight="1" s="30"/>
    <row r="40" ht="15.75" customHeight="1" s="30"/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1F3864"/>
    <outlinePr summaryBelow="1" summaryRight="1"/>
    <pageSetUpPr/>
  </sheetPr>
  <dimension ref="A1:G7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4.43" defaultRowHeight="15" customHeight="1"/>
  <cols>
    <col width="7" customWidth="1" style="30" min="1" max="1"/>
    <col width="9" customWidth="1" style="30" min="2" max="2"/>
    <col width="62" customWidth="1" style="30" min="3" max="3"/>
    <col width="34" customWidth="1" style="30" min="4" max="4"/>
    <col width="18" customWidth="1" style="30" min="5" max="5"/>
    <col width="14" customWidth="1" style="30" min="6" max="6"/>
    <col width="34" customWidth="1" style="30" min="7" max="7"/>
    <col width="8.710000000000001" customWidth="1" style="30" min="8" max="26"/>
  </cols>
  <sheetData>
    <row r="1">
      <c r="A1" s="1" t="inlineStr">
        <is>
          <t>Task checklist (per member)</t>
        </is>
      </c>
    </row>
    <row r="2">
      <c r="A2" s="2" t="inlineStr">
        <is>
          <t>Change only the Status column (yellow). Dates turn red if overdue and not Done. 'All' = every member. Deliver-by times are in Notes.</t>
        </is>
      </c>
    </row>
    <row r="4">
      <c r="A4" s="5" t="inlineStr">
        <is>
          <t>ID</t>
        </is>
      </c>
      <c r="B4" s="5" t="inlineStr">
        <is>
          <t>Member</t>
        </is>
      </c>
      <c r="C4" s="5" t="inlineStr">
        <is>
          <t>Task</t>
        </is>
      </c>
      <c r="D4" s="5" t="inlineStr">
        <is>
          <t>Deliverable / output</t>
        </is>
      </c>
      <c r="E4" s="5" t="inlineStr">
        <is>
          <t>Due date</t>
        </is>
      </c>
      <c r="F4" s="5" t="inlineStr">
        <is>
          <t>Status</t>
        </is>
      </c>
      <c r="G4" s="5" t="inlineStr">
        <is>
          <t>Notes</t>
        </is>
      </c>
    </row>
    <row r="5">
      <c r="A5" s="8" t="inlineStr">
        <is>
          <t>T01</t>
        </is>
      </c>
      <c r="B5" s="17" t="inlineStr">
        <is>
          <t>M1</t>
        </is>
      </c>
      <c r="C5" s="9" t="inlineStr">
        <is>
          <t>Create skeletons: notebook with E1-E5 headers, main.tex with all sections, refs.bib (with Ebola citations), figs/</t>
        </is>
      </c>
      <c r="D5" s="9" t="inlineStr">
        <is>
          <t>Notebook shell + LaTeX project</t>
        </is>
      </c>
      <c r="E5" s="7" t="n">
        <v>46316</v>
      </c>
      <c r="F5" s="11" t="inlineStr">
        <is>
          <t>Done</t>
        </is>
      </c>
      <c r="G5" s="9" t="n"/>
    </row>
    <row r="6">
      <c r="A6" s="8" t="inlineStr">
        <is>
          <t>T02</t>
        </is>
      </c>
      <c r="B6" s="17" t="inlineStr">
        <is>
          <t>M1</t>
        </is>
      </c>
      <c r="C6" s="9" t="inlineStr">
        <is>
          <t>Fix SEIRD equations and shared conventions (2014 Sierra Leone Ebola parameters, seed 42, .eps figures, metrics)</t>
        </is>
      </c>
      <c r="D6" s="9" t="inlineStr">
        <is>
          <t>Conventions agreed by all members</t>
        </is>
      </c>
      <c r="E6" s="7" t="n">
        <v>46316</v>
      </c>
      <c r="F6" s="11" t="inlineStr">
        <is>
          <t>Done</t>
        </is>
      </c>
      <c r="G6" s="9" t="n"/>
    </row>
    <row r="7">
      <c r="A7" s="8" t="inlineStr">
        <is>
          <t>T03</t>
        </is>
      </c>
      <c r="B7" s="17" t="inlineStr">
        <is>
          <t>M1</t>
        </is>
      </c>
      <c r="C7" s="9" t="inlineStr">
        <is>
          <t>Write introduction, motivation, objectives, assumptions, model section; draw TikZ diagram; conduct comparative analysis of 3 published Ebola models (Legrand 2007, Rivers 2014, Althaus 2014)</t>
        </is>
      </c>
      <c r="D7" s="9" t="inlineStr">
        <is>
          <t>Report sections 1-4</t>
        </is>
      </c>
      <c r="E7" s="7" t="n">
        <v>46317</v>
      </c>
      <c r="F7" s="11" t="inlineStr">
        <is>
          <t>Done</t>
        </is>
      </c>
      <c r="G7" s="9" t="n"/>
    </row>
    <row r="8">
      <c r="A8" s="8" t="inlineStr">
        <is>
          <t>T04</t>
        </is>
      </c>
      <c r="B8" s="17" t="inlineStr">
        <is>
          <t>M1</t>
        </is>
      </c>
      <c r="C8" s="9" t="inlineStr">
        <is>
          <t>Notebook setup &amp; M1 deep analysis: model parameters, phase-plane trajectory derivation i(s), nullcline analysis, peak infection formula i_max, herd immunity threshold p_c, and 2D R0 parameter space contours</t>
        </is>
      </c>
      <c r="D8" s="9" t="inlineStr">
        <is>
          <t>Notebook parts 1-2</t>
        </is>
      </c>
      <c r="E8" s="7" t="n">
        <v>46317</v>
      </c>
      <c r="F8" s="11" t="inlineStr">
        <is>
          <t>Done</t>
        </is>
      </c>
      <c r="G8" s="9" t="n"/>
    </row>
    <row r="9">
      <c r="A9" s="8" t="inlineStr">
        <is>
          <t>T05</t>
        </is>
      </c>
      <c r="B9" s="17" t="inlineStr">
        <is>
          <t>M1</t>
        </is>
      </c>
      <c r="C9" s="9" t="inlineStr">
        <is>
          <t>Integrate M2, M3, M4 inputs as they arrive (draft late parts with AI; owner replaces them later)</t>
        </is>
      </c>
      <c r="D9" s="9" t="inlineStr">
        <is>
          <t>Merged v0 of notebook and report</t>
        </is>
      </c>
      <c r="E9" s="7" t="n">
        <v>46317</v>
      </c>
      <c r="F9" s="11" t="inlineStr">
        <is>
          <t>Done</t>
        </is>
      </c>
      <c r="G9" s="9" t="inlineStr">
        <is>
          <t>Thu night</t>
        </is>
      </c>
    </row>
    <row r="10">
      <c r="A10" s="8" t="inlineStr">
        <is>
          <t>T06</t>
        </is>
      </c>
      <c r="B10" s="17" t="inlineStr">
        <is>
          <t>M1</t>
        </is>
      </c>
      <c r="C10" s="9" t="inlineStr">
        <is>
          <t>Send v1 of the complete notebook and LaTeX report (coloured Markdown, equations, algorithms before each code cell)</t>
        </is>
      </c>
      <c r="D10" s="9" t="inlineStr">
        <is>
          <t>v1 notebook (.ipynb) + report (.tex)</t>
        </is>
      </c>
      <c r="E10" s="7" t="n">
        <v>46318</v>
      </c>
      <c r="F10" s="11" t="inlineStr">
        <is>
          <t>Done</t>
        </is>
      </c>
      <c r="G10" s="9" t="inlineStr">
        <is>
          <t>By 8 PM</t>
        </is>
      </c>
    </row>
    <row r="11">
      <c r="A11" s="8" t="inlineStr">
        <is>
          <t>T07</t>
        </is>
      </c>
      <c r="B11" s="17" t="inlineStr">
        <is>
          <t>M1</t>
        </is>
      </c>
      <c r="C11" s="9" t="inlineStr">
        <is>
          <t>Merge all owners' edits; rerun notebook top-to-bottom; freeze</t>
        </is>
      </c>
      <c r="D11" s="9" t="inlineStr">
        <is>
          <t>Frozen final notebook and report</t>
        </is>
      </c>
      <c r="E11" s="7" t="n">
        <v>46319</v>
      </c>
      <c r="F11" s="11" t="inlineStr">
        <is>
          <t>Done</t>
        </is>
      </c>
      <c r="G11" s="9" t="inlineStr">
        <is>
          <t>Freeze at 10 PM</t>
        </is>
      </c>
    </row>
    <row r="12">
      <c r="A12" s="8" t="inlineStr">
        <is>
          <t>T08</t>
        </is>
      </c>
      <c r="B12" s="17" t="inlineStr">
        <is>
          <t>M1</t>
        </is>
      </c>
      <c r="C12" s="9" t="inlineStr">
        <is>
          <t>Compile PDF; check .eps files, citations, AI acknowledgement; SUBMIT</t>
        </is>
      </c>
      <c r="D12" s="9" t="inlineStr">
        <is>
          <t>Submission package</t>
        </is>
      </c>
      <c r="E12" s="7" t="n">
        <v>46320</v>
      </c>
      <c r="F12" s="11" t="inlineStr">
        <is>
          <t>Done</t>
        </is>
      </c>
      <c r="G12" s="9" t="inlineStr">
        <is>
          <t>Submit in the morning</t>
        </is>
      </c>
    </row>
    <row r="13">
      <c r="A13" s="8" t="inlineStr">
        <is>
          <t>T09</t>
        </is>
      </c>
      <c r="B13" s="17" t="inlineStr">
        <is>
          <t>M1</t>
        </is>
      </c>
      <c r="C13" s="9" t="inlineStr">
        <is>
          <t>Merge slide deck from all members</t>
        </is>
      </c>
      <c r="D13" s="9" t="inlineStr">
        <is>
          <t>Single deck</t>
        </is>
      </c>
      <c r="E13" s="7" t="n">
        <v>46322</v>
      </c>
      <c r="F13" s="11" t="inlineStr">
        <is>
          <t>Done</t>
        </is>
      </c>
      <c r="G13" s="9" t="n"/>
    </row>
    <row r="14">
      <c r="A14" s="8" t="inlineStr">
        <is>
          <t>T10</t>
        </is>
      </c>
      <c r="B14" s="17" t="inlineStr">
        <is>
          <t>M1</t>
        </is>
      </c>
      <c r="C14" s="9" t="inlineStr">
        <is>
          <t>Be ready to present: motivation, published models critique, and model formulation (about 2 min)</t>
        </is>
      </c>
      <c r="D14" s="9" t="inlineStr">
        <is>
          <t>Presentation slice</t>
        </is>
      </c>
      <c r="E14" s="7" t="n">
        <v>46326</v>
      </c>
      <c r="F14" s="11" t="inlineStr">
        <is>
          <t>Done</t>
        </is>
      </c>
      <c r="G14" s="9" t="n"/>
    </row>
    <row r="15">
      <c r="A15" s="8" t="inlineStr">
        <is>
          <t>T11</t>
        </is>
      </c>
      <c r="B15" s="17" t="inlineStr">
        <is>
          <t>M2</t>
        </is>
      </c>
      <c r="C15" s="9" t="inlineStr">
        <is>
          <t>Derive R0 = beta/(gamma+mu) by the next-generation matrix (write out F and V)</t>
        </is>
      </c>
      <c r="D15" s="9" t="inlineStr">
        <is>
          <t>LaTeX snippet</t>
        </is>
      </c>
      <c r="E15" s="7" t="n">
        <v>46317</v>
      </c>
      <c r="F15" s="11" t="inlineStr">
        <is>
          <t>Not started</t>
        </is>
      </c>
      <c r="G15" s="9" t="n"/>
    </row>
    <row r="16">
      <c r="A16" s="8" t="inlineStr">
        <is>
          <t>T12</t>
        </is>
      </c>
      <c r="B16" s="17" t="inlineStr">
        <is>
          <t>M2</t>
        </is>
      </c>
      <c r="C16" s="9" t="inlineStr">
        <is>
          <t>Equilibria, Jacobian and stability condition R0*s* &lt; 1</t>
        </is>
      </c>
      <c r="D16" s="9" t="inlineStr">
        <is>
          <t>LaTeX snippet</t>
        </is>
      </c>
      <c r="E16" s="7" t="n">
        <v>46317</v>
      </c>
      <c r="F16" s="11" t="inlineStr">
        <is>
          <t>Not started</t>
        </is>
      </c>
      <c r="G16" s="9" t="n"/>
    </row>
    <row r="17">
      <c r="A17" s="8" t="inlineStr">
        <is>
          <t>T13</t>
        </is>
      </c>
      <c r="B17" s="17" t="inlineStr">
        <is>
          <t>M2</t>
        </is>
      </c>
      <c r="C17" s="9" t="inlineStr">
        <is>
          <t>Derive final-size relation ln(s0/s_inf) = R0(1 - s_inf - r0 - d0); verify numerically for 3-5 values of R0 and report relative error</t>
        </is>
      </c>
      <c r="D17" s="9" t="inlineStr">
        <is>
          <t>LaTeX snippet + notebook cells + .eps plot</t>
        </is>
      </c>
      <c r="E17" s="7" t="n">
        <v>46317</v>
      </c>
      <c r="F17" s="11" t="inlineStr">
        <is>
          <t>Not started</t>
        </is>
      </c>
      <c r="G17" s="9" t="n"/>
    </row>
    <row r="18">
      <c r="A18" s="8" t="inlineStr">
        <is>
          <t>T14</t>
        </is>
      </c>
      <c r="B18" s="17" t="inlineStr">
        <is>
          <t>M2</t>
        </is>
      </c>
      <c r="C18" s="9" t="inlineStr">
        <is>
          <t>Analytic sensitivity indices of R0; Latin hypercube + PRCC sensitivity of peak infections and final size</t>
        </is>
      </c>
      <c r="D18" s="9" t="inlineStr">
        <is>
          <t>Notebook cells + .eps plot</t>
        </is>
      </c>
      <c r="E18" s="7" t="n">
        <v>46317</v>
      </c>
      <c r="F18" s="11" t="inlineStr">
        <is>
          <t>Not started</t>
        </is>
      </c>
      <c r="G18" s="9" t="n"/>
    </row>
    <row r="19">
      <c r="A19" s="8" t="inlineStr">
        <is>
          <t>T15</t>
        </is>
      </c>
      <c r="B19" s="17" t="inlineStr">
        <is>
          <t>M2</t>
        </is>
      </c>
      <c r="C19" s="9" t="inlineStr">
        <is>
          <t>Deliver all analysis material to M1</t>
        </is>
      </c>
      <c r="D19" s="9" t="inlineStr">
        <is>
          <t>Everything above, handed over</t>
        </is>
      </c>
      <c r="E19" s="7" t="n">
        <v>46317</v>
      </c>
      <c r="F19" s="11" t="inlineStr">
        <is>
          <t>Not started</t>
        </is>
      </c>
      <c r="G19" s="9" t="inlineStr">
        <is>
          <t>By 10 PM</t>
        </is>
      </c>
    </row>
    <row r="20">
      <c r="A20" s="8" t="inlineStr">
        <is>
          <t>T16</t>
        </is>
      </c>
      <c r="B20" s="17" t="inlineStr">
        <is>
          <t>M2</t>
        </is>
      </c>
      <c r="C20" s="9" t="inlineStr">
        <is>
          <t>Revise analysis section in v1</t>
        </is>
      </c>
      <c r="D20" s="9" t="inlineStr">
        <is>
          <t>Revised section</t>
        </is>
      </c>
      <c r="E20" s="7" t="n">
        <v>46319</v>
      </c>
      <c r="F20" s="11" t="inlineStr">
        <is>
          <t>Not started</t>
        </is>
      </c>
      <c r="G20" s="9" t="n"/>
    </row>
    <row r="21" ht="15.75" customHeight="1" s="30">
      <c r="A21" s="8" t="inlineStr">
        <is>
          <t>T17</t>
        </is>
      </c>
      <c r="B21" s="17" t="inlineStr">
        <is>
          <t>M2</t>
        </is>
      </c>
      <c r="C21" s="9" t="inlineStr">
        <is>
          <t>Build 1-2 slides: analysis (R0, stability, final size)</t>
        </is>
      </c>
      <c r="D21" s="9" t="inlineStr">
        <is>
          <t>Slides</t>
        </is>
      </c>
      <c r="E21" s="7" t="n">
        <v>46322</v>
      </c>
      <c r="F21" s="11" t="inlineStr">
        <is>
          <t>Not started</t>
        </is>
      </c>
      <c r="G21" s="9" t="n"/>
    </row>
    <row r="22" ht="15.75" customHeight="1" s="30">
      <c r="A22" s="8" t="inlineStr">
        <is>
          <t>T18</t>
        </is>
      </c>
      <c r="B22" s="17" t="inlineStr">
        <is>
          <t>M2</t>
        </is>
      </c>
      <c r="C22" s="9" t="inlineStr">
        <is>
          <t>Be ready to present: analysis (about 2 min)</t>
        </is>
      </c>
      <c r="D22" s="9" t="inlineStr">
        <is>
          <t>Presentation slice</t>
        </is>
      </c>
      <c r="E22" s="7" t="n">
        <v>46326</v>
      </c>
      <c r="F22" s="11" t="inlineStr">
        <is>
          <t>Not started</t>
        </is>
      </c>
      <c r="G22" s="9" t="n"/>
    </row>
    <row r="23" ht="15.75" customHeight="1" s="30">
      <c r="A23" s="8" t="inlineStr">
        <is>
          <t>T19</t>
        </is>
      </c>
      <c r="B23" s="17" t="inlineStr">
        <is>
          <t>M3</t>
        </is>
      </c>
      <c r="C23" s="9" t="inlineStr">
        <is>
          <t>Implement Euler and RK4 yourselves (vectorised)</t>
        </is>
      </c>
      <c r="D23" s="9" t="inlineStr">
        <is>
          <t>Solver code</t>
        </is>
      </c>
      <c r="E23" s="7" t="n">
        <v>46317</v>
      </c>
      <c r="F23" s="11" t="inlineStr">
        <is>
          <t>Not started</t>
        </is>
      </c>
      <c r="G23" s="9" t="n"/>
    </row>
    <row r="24" ht="15.75" customHeight="1" s="30">
      <c r="A24" s="8" t="inlineStr">
        <is>
          <t>T20</t>
        </is>
      </c>
      <c r="B24" s="17" t="inlineStr">
        <is>
          <t>M3</t>
        </is>
      </c>
      <c r="C24" s="9" t="inlineStr">
        <is>
          <t>Reference solver reference_solution(params, t): solve_ivp, DOP853, rtol 1e-12, atol 1e-14; share with M4 and M5</t>
        </is>
      </c>
      <c r="D24" s="9" t="inlineStr">
        <is>
          <t>Shared function</t>
        </is>
      </c>
      <c r="E24" s="7" t="n">
        <v>46317</v>
      </c>
      <c r="F24" s="11" t="inlineStr">
        <is>
          <t>Not started</t>
        </is>
      </c>
      <c r="G24" s="9" t="n"/>
    </row>
    <row r="25" ht="15.75" customHeight="1" s="30">
      <c r="A25" s="8" t="inlineStr">
        <is>
          <t>T21</t>
        </is>
      </c>
      <c r="B25" s="17" t="inlineStr">
        <is>
          <t>M3</t>
        </is>
      </c>
      <c r="C25" s="9" t="inlineStr">
        <is>
          <t>E1: error vs step size over about 6 values of h; log-log slope via np.polyfit; confirm slopes about 1 and 4</t>
        </is>
      </c>
      <c r="D25" s="9" t="inlineStr">
        <is>
          <t>Convergence plot (.eps) + table</t>
        </is>
      </c>
      <c r="E25" s="7" t="n">
        <v>46317</v>
      </c>
      <c r="F25" s="11" t="inlineStr">
        <is>
          <t>Not started</t>
        </is>
      </c>
      <c r="G25" s="9" t="n"/>
    </row>
    <row r="26" ht="15.75" customHeight="1" s="30">
      <c r="A26" s="8" t="inlineStr">
        <is>
          <t>T22</t>
        </is>
      </c>
      <c r="B26" s="17" t="inlineStr">
        <is>
          <t>M3</t>
        </is>
      </c>
      <c r="C26" s="9" t="inlineStr">
        <is>
          <t>Conservation check: s+e+i+r+d = 1 preserved to about 1e-12</t>
        </is>
      </c>
      <c r="D26" s="9" t="inlineStr">
        <is>
          <t>Notebook cell</t>
        </is>
      </c>
      <c r="E26" s="7" t="n">
        <v>46317</v>
      </c>
      <c r="F26" s="11" t="inlineStr">
        <is>
          <t>Not started</t>
        </is>
      </c>
      <c r="G26" s="9" t="n"/>
    </row>
    <row r="27" ht="15.75" customHeight="1" s="30">
      <c r="A27" s="8" t="inlineStr">
        <is>
          <t>T23</t>
        </is>
      </c>
      <c r="B27" s="17" t="inlineStr">
        <is>
          <t>M3</t>
        </is>
      </c>
      <c r="C27" s="9" t="inlineStr">
        <is>
          <t>Deliver code and short method explanation to M1</t>
        </is>
      </c>
      <c r="D27" s="9" t="inlineStr">
        <is>
          <t>Handed over</t>
        </is>
      </c>
      <c r="E27" s="7" t="n">
        <v>46317</v>
      </c>
      <c r="F27" s="11" t="inlineStr">
        <is>
          <t>Not started</t>
        </is>
      </c>
      <c r="G27" s="9" t="inlineStr">
        <is>
          <t>By 10 PM</t>
        </is>
      </c>
    </row>
    <row r="28" ht="15.75" customHeight="1" s="30">
      <c r="A28" s="8" t="inlineStr">
        <is>
          <t>T24</t>
        </is>
      </c>
      <c r="B28" s="17" t="inlineStr">
        <is>
          <t>M3</t>
        </is>
      </c>
      <c r="C28" s="9" t="inlineStr">
        <is>
          <t>Revise numerical-methods section in v1</t>
        </is>
      </c>
      <c r="D28" s="9" t="inlineStr">
        <is>
          <t>Revised section</t>
        </is>
      </c>
      <c r="E28" s="7" t="n">
        <v>46319</v>
      </c>
      <c r="F28" s="11" t="inlineStr">
        <is>
          <t>Not started</t>
        </is>
      </c>
      <c r="G28" s="9" t="n"/>
    </row>
    <row r="29" ht="15.75" customHeight="1" s="30">
      <c r="A29" s="8" t="inlineStr">
        <is>
          <t>T25</t>
        </is>
      </c>
      <c r="B29" s="17" t="inlineStr">
        <is>
          <t>M3</t>
        </is>
      </c>
      <c r="C29" s="9" t="inlineStr">
        <is>
          <t>Build 1-2 slides: numerical methods and E1</t>
        </is>
      </c>
      <c r="D29" s="9" t="inlineStr">
        <is>
          <t>Slides</t>
        </is>
      </c>
      <c r="E29" s="7" t="n">
        <v>46322</v>
      </c>
      <c r="F29" s="11" t="inlineStr">
        <is>
          <t>Not started</t>
        </is>
      </c>
      <c r="G29" s="9" t="n"/>
    </row>
    <row r="30" ht="15.75" customHeight="1" s="30">
      <c r="A30" s="8" t="inlineStr">
        <is>
          <t>T26</t>
        </is>
      </c>
      <c r="B30" s="17" t="inlineStr">
        <is>
          <t>M3</t>
        </is>
      </c>
      <c r="C30" s="9" t="inlineStr">
        <is>
          <t>Be ready to present: numerical methods and E1 (about 2 min)</t>
        </is>
      </c>
      <c r="D30" s="9" t="inlineStr">
        <is>
          <t>Presentation slice</t>
        </is>
      </c>
      <c r="E30" s="7" t="n">
        <v>46326</v>
      </c>
      <c r="F30" s="11" t="inlineStr">
        <is>
          <t>Not started</t>
        </is>
      </c>
      <c r="G30" s="9" t="n"/>
    </row>
    <row r="31" ht="15.75" customHeight="1" s="30">
      <c r="A31" s="8" t="inlineStr">
        <is>
          <t>T27</t>
        </is>
      </c>
      <c r="B31" s="17" t="inlineStr">
        <is>
          <t>M4</t>
        </is>
      </c>
      <c r="C31" s="9" t="inlineStr">
        <is>
          <t>Write the PINN maths: scaled equations, loss L = w_data*L_data + w_ode*L_ode + w_ic*L_ic + w_reg*L_smooth, and why each term exists</t>
        </is>
      </c>
      <c r="D31" s="9" t="inlineStr">
        <is>
          <t>LaTeX snippet</t>
        </is>
      </c>
      <c r="E31" s="7" t="n">
        <v>46316</v>
      </c>
      <c r="F31" s="11" t="inlineStr">
        <is>
          <t>Not started</t>
        </is>
      </c>
      <c r="G31" s="9" t="n"/>
    </row>
    <row r="32" ht="15.75" customHeight="1" s="30">
      <c r="A32" s="8" t="inlineStr">
        <is>
          <t>T28</t>
        </is>
      </c>
      <c r="B32" s="17" t="inlineStr">
        <is>
          <t>M4</t>
        </is>
      </c>
      <c r="C32" s="9" t="inlineStr">
        <is>
          <t>Implement PyTorch state network + softplus beta(t) network, autograd derivatives, random collocation points, tanh, Adam then L-BFGS</t>
        </is>
      </c>
      <c r="D32" s="9" t="inlineStr">
        <is>
          <t>Working PINN module</t>
        </is>
      </c>
      <c r="E32" s="7" t="n">
        <v>46317</v>
      </c>
      <c r="F32" s="11" t="inlineStr">
        <is>
          <t>Not started</t>
        </is>
      </c>
      <c r="G32" s="9" t="inlineStr">
        <is>
          <t>Deliver by 10 PM</t>
        </is>
      </c>
    </row>
    <row r="33" ht="15.75" customHeight="1" s="30">
      <c r="A33" s="8" t="inlineStr">
        <is>
          <t>T29</t>
        </is>
      </c>
      <c r="B33" s="17" t="inlineStr">
        <is>
          <t>M4</t>
        </is>
      </c>
      <c r="C33" s="9" t="inlineStr">
        <is>
          <t>E2: forward solve; relative L2 error vs M3 reference, per compartment</t>
        </is>
      </c>
      <c r="D33" s="9" t="inlineStr">
        <is>
          <t>Results table + plot</t>
        </is>
      </c>
      <c r="E33" s="7" t="n">
        <v>46317</v>
      </c>
      <c r="F33" s="11" t="inlineStr">
        <is>
          <t>Not started</t>
        </is>
      </c>
      <c r="G33" s="9" t="n"/>
    </row>
    <row r="34" ht="15.75" customHeight="1" s="30">
      <c r="A34" s="8" t="inlineStr">
        <is>
          <t>T30</t>
        </is>
      </c>
      <c r="B34" s="17" t="inlineStr">
        <is>
          <t>M4</t>
        </is>
      </c>
      <c r="C34" s="9" t="inlineStr">
        <is>
          <t>E3: inverse problem with known beta(t) (step and sinusoidal); noise 1% and 5%; 3-5 seeds; mean +/- SD of errors</t>
        </is>
      </c>
      <c r="D34" s="9" t="inlineStr">
        <is>
          <t>Results table + plots</t>
        </is>
      </c>
      <c r="E34" s="7" t="n">
        <v>46318</v>
      </c>
      <c r="F34" s="11" t="inlineStr">
        <is>
          <t>Not started</t>
        </is>
      </c>
      <c r="G34" s="9" t="inlineStr">
        <is>
          <t>Run long jobs in background</t>
        </is>
      </c>
    </row>
    <row r="35" ht="15.75" customHeight="1" s="30">
      <c r="A35" s="8" t="inlineStr">
        <is>
          <t>T31</t>
        </is>
      </c>
      <c r="B35" s="17" t="inlineStr">
        <is>
          <t>M4</t>
        </is>
      </c>
      <c r="C35" s="9" t="inlineStr">
        <is>
          <t>E4: recover hidden e(t) and s(t) from cases and deaths only; report RMSE</t>
        </is>
      </c>
      <c r="D35" s="9" t="inlineStr">
        <is>
          <t>Recovered-vs-true plot + RMSE</t>
        </is>
      </c>
      <c r="E35" s="7" t="n">
        <v>46319</v>
      </c>
      <c r="F35" s="11" t="inlineStr">
        <is>
          <t>Not started</t>
        </is>
      </c>
      <c r="G35" s="9" t="n"/>
    </row>
    <row r="36" ht="15.75" customHeight="1" s="30">
      <c r="A36" s="8" t="inlineStr">
        <is>
          <t>T32</t>
        </is>
      </c>
      <c r="B36" s="17" t="inlineStr">
        <is>
          <t>M4</t>
        </is>
      </c>
      <c r="C36" s="9" t="inlineStr">
        <is>
          <t>Loss-weight ablation table</t>
        </is>
      </c>
      <c r="D36" s="9" t="inlineStr">
        <is>
          <t>Ablation table</t>
        </is>
      </c>
      <c r="E36" s="7" t="n">
        <v>46319</v>
      </c>
      <c r="F36" s="11" t="inlineStr">
        <is>
          <t>Not started</t>
        </is>
      </c>
      <c r="G36" s="9" t="n"/>
    </row>
    <row r="37" ht="15.75" customHeight="1" s="30">
      <c r="A37" s="8" t="inlineStr">
        <is>
          <t>T33</t>
        </is>
      </c>
      <c r="B37" s="17" t="inlineStr">
        <is>
          <t>M4</t>
        </is>
      </c>
      <c r="C37" s="9" t="inlineStr">
        <is>
          <t>Review PINN sections of v1 and write PINN limitations (loss balancing, identifiability)</t>
        </is>
      </c>
      <c r="D37" s="9" t="inlineStr">
        <is>
          <t>Revised section</t>
        </is>
      </c>
      <c r="E37" s="7" t="n">
        <v>46319</v>
      </c>
      <c r="F37" s="11" t="inlineStr">
        <is>
          <t>Not started</t>
        </is>
      </c>
      <c r="G37" s="9" t="n"/>
    </row>
    <row r="38" ht="15.75" customHeight="1" s="30">
      <c r="A38" s="8" t="inlineStr">
        <is>
          <t>T34</t>
        </is>
      </c>
      <c r="B38" s="17" t="inlineStr">
        <is>
          <t>M4</t>
        </is>
      </c>
      <c r="C38" s="9" t="inlineStr">
        <is>
          <t>Build 1-2 slides: PINN design and synthetic validation</t>
        </is>
      </c>
      <c r="D38" s="9" t="inlineStr">
        <is>
          <t>Slides</t>
        </is>
      </c>
      <c r="E38" s="7" t="n">
        <v>46322</v>
      </c>
      <c r="F38" s="11" t="inlineStr">
        <is>
          <t>Not started</t>
        </is>
      </c>
      <c r="G38" s="9" t="n"/>
    </row>
    <row r="39" ht="15.75" customHeight="1" s="30">
      <c r="A39" s="8" t="inlineStr">
        <is>
          <t>T35</t>
        </is>
      </c>
      <c r="B39" s="17" t="inlineStr">
        <is>
          <t>M4</t>
        </is>
      </c>
      <c r="C39" s="9" t="inlineStr">
        <is>
          <t>Be ready to present: PINN design and synthetic validation (about 2 min)</t>
        </is>
      </c>
      <c r="D39" s="9" t="inlineStr">
        <is>
          <t>Presentation slice</t>
        </is>
      </c>
      <c r="E39" s="7" t="n">
        <v>46326</v>
      </c>
      <c r="F39" s="11" t="inlineStr">
        <is>
          <t>Not started</t>
        </is>
      </c>
      <c r="G39" s="9" t="n"/>
    </row>
    <row r="40" ht="15.75" customHeight="1" s="30">
      <c r="A40" s="8" t="inlineStr">
        <is>
          <t>T36</t>
        </is>
      </c>
      <c r="B40" s="17" t="inlineStr">
        <is>
          <t>M5</t>
        </is>
      </c>
      <c r="C40" s="9" t="inlineStr">
        <is>
          <t>Acquire real-world 2014 Sierra Leone Ebola outbreak dataset from public GitHub (cmrivers/ebola) and WHO Situation Reports archive; document exact URL, provenance and CC BY 4.0 licence (strictly no synthetic data for real evaluation)</t>
        </is>
      </c>
      <c r="D40" s="9" t="inlineStr">
        <is>
          <t>Dataset + citation</t>
        </is>
      </c>
      <c r="E40" s="7" t="n">
        <v>46316</v>
      </c>
      <c r="F40" s="11" t="inlineStr">
        <is>
          <t>Not started</t>
        </is>
      </c>
      <c r="G40" s="9" t="n"/>
    </row>
    <row r="41" ht="15.75" customHeight="1" s="30">
      <c r="A41" s="8" t="inlineStr">
        <is>
          <t>T37</t>
        </is>
      </c>
      <c r="B41" s="17" t="inlineStr">
        <is>
          <t>M5</t>
        </is>
      </c>
      <c r="C41" s="9" t="inlineStr">
        <is>
          <t>Preprocess real Sierra Leone outbreak data (120 days: May 25 - Sep 21, 2014; extract cumulative cases/deaths, compute 7-day rolling average, enforce 75/25 chronological train/test split per data/README.md)</t>
        </is>
      </c>
      <c r="D41" s="9" t="inlineStr">
        <is>
          <t>data/*.csv + split</t>
        </is>
      </c>
      <c r="E41" s="7" t="n">
        <v>46317</v>
      </c>
      <c r="F41" s="11" t="inlineStr">
        <is>
          <t>Not started</t>
        </is>
      </c>
      <c r="G41" s="9" t="n"/>
    </row>
    <row r="42" ht="15.75" customHeight="1" s="30">
      <c r="A42" s="8" t="inlineStr">
        <is>
          <t>T38</t>
        </is>
      </c>
      <c r="B42" s="17" t="inlineStr">
        <is>
          <t>M5</t>
        </is>
      </c>
      <c r="C42" s="9" t="inlineStr">
        <is>
          <t>Baselines: constant-beta and piecewise-beta least squares with smoothness penalty (scipy.optimize.least_squares)</t>
        </is>
      </c>
      <c r="D42" s="9" t="inlineStr">
        <is>
          <t>Baseline code</t>
        </is>
      </c>
      <c r="E42" s="7" t="n">
        <v>46317</v>
      </c>
      <c r="F42" s="11" t="inlineStr">
        <is>
          <t>Not started</t>
        </is>
      </c>
      <c r="G42" s="9" t="n"/>
    </row>
    <row r="43" ht="15.75" customHeight="1" s="30">
      <c r="A43" s="8" t="inlineStr">
        <is>
          <t>T39</t>
        </is>
      </c>
      <c r="B43" s="17" t="inlineStr">
        <is>
          <t>M5</t>
        </is>
      </c>
      <c r="C43" s="9" t="inlineStr">
        <is>
          <t>Run M4's PINN on real data; forecast the test window; state the beta extrapolation assumption</t>
        </is>
      </c>
      <c r="D43" s="9" t="inlineStr">
        <is>
          <t>Forecast results</t>
        </is>
      </c>
      <c r="E43" s="7" t="n">
        <v>46318</v>
      </c>
      <c r="F43" s="11" t="inlineStr">
        <is>
          <t>Not started</t>
        </is>
      </c>
      <c r="G43" s="9" t="n"/>
    </row>
    <row r="44" ht="15.75" customHeight="1" s="30">
      <c r="A44" s="8" t="inlineStr">
        <is>
          <t>T40</t>
        </is>
      </c>
      <c r="B44" s="17" t="inlineStr">
        <is>
          <t>M5</t>
        </is>
      </c>
      <c r="C44" s="9" t="inlineStr">
        <is>
          <t>Table MAE, RMSE and relative error of the 3 methods on the test window only; comparison plot</t>
        </is>
      </c>
      <c r="D44" s="9" t="inlineStr">
        <is>
          <t>Table + .eps plot</t>
        </is>
      </c>
      <c r="E44" s="7" t="n">
        <v>46318</v>
      </c>
      <c r="F44" s="11" t="inlineStr">
        <is>
          <t>Not started</t>
        </is>
      </c>
      <c r="G44" s="9" t="inlineStr">
        <is>
          <t>Report honestly if PINN does not win</t>
        </is>
      </c>
    </row>
    <row r="45" ht="15.75" customHeight="1" s="30">
      <c r="A45" s="8" t="inlineStr">
        <is>
          <t>T41</t>
        </is>
      </c>
      <c r="B45" s="17" t="inlineStr">
        <is>
          <t>M5</t>
        </is>
      </c>
      <c r="C45" s="9" t="inlineStr">
        <is>
          <t>Write limitations: reporting delay, under-ascertainment, identifiability, loss balancing, beta extrapolation; deliver to M1</t>
        </is>
      </c>
      <c r="D45" s="9" t="inlineStr">
        <is>
          <t>Limitations section</t>
        </is>
      </c>
      <c r="E45" s="7" t="n">
        <v>46318</v>
      </c>
      <c r="F45" s="11" t="inlineStr">
        <is>
          <t>Not started</t>
        </is>
      </c>
      <c r="G45" s="9" t="inlineStr">
        <is>
          <t>By 2 PM</t>
        </is>
      </c>
    </row>
    <row r="46" ht="15.75" customHeight="1" s="30">
      <c r="A46" s="8" t="inlineStr">
        <is>
          <t>T42</t>
        </is>
      </c>
      <c r="B46" s="17" t="inlineStr">
        <is>
          <t>M5</t>
        </is>
      </c>
      <c r="C46" s="9" t="inlineStr">
        <is>
          <t>Revise real-data section in v1</t>
        </is>
      </c>
      <c r="D46" s="9" t="inlineStr">
        <is>
          <t>Revised section</t>
        </is>
      </c>
      <c r="E46" s="7" t="n">
        <v>46319</v>
      </c>
      <c r="F46" s="11" t="inlineStr">
        <is>
          <t>Not started</t>
        </is>
      </c>
      <c r="G46" s="9" t="n"/>
    </row>
    <row r="47" ht="15.75" customHeight="1" s="30">
      <c r="A47" s="8" t="inlineStr">
        <is>
          <t>T43</t>
        </is>
      </c>
      <c r="B47" s="17" t="inlineStr">
        <is>
          <t>M5</t>
        </is>
      </c>
      <c r="C47" s="9" t="inlineStr">
        <is>
          <t>Build 1-2 slides: real-data results, comparison, limitations</t>
        </is>
      </c>
      <c r="D47" s="9" t="inlineStr">
        <is>
          <t>Slides</t>
        </is>
      </c>
      <c r="E47" s="7" t="n">
        <v>46322</v>
      </c>
      <c r="F47" s="11" t="inlineStr">
        <is>
          <t>Not started</t>
        </is>
      </c>
      <c r="G47" s="9" t="n"/>
    </row>
    <row r="48" ht="15.75" customHeight="1" s="30">
      <c r="A48" s="8" t="inlineStr">
        <is>
          <t>T44</t>
        </is>
      </c>
      <c r="B48" s="17" t="inlineStr">
        <is>
          <t>M5</t>
        </is>
      </c>
      <c r="C48" s="9" t="inlineStr">
        <is>
          <t>Be ready to present: real data, comparison, limitations (about 2 min)</t>
        </is>
      </c>
      <c r="D48" s="9" t="inlineStr">
        <is>
          <t>Presentation slice</t>
        </is>
      </c>
      <c r="E48" s="7" t="n">
        <v>46326</v>
      </c>
      <c r="F48" s="11" t="inlineStr">
        <is>
          <t>Not started</t>
        </is>
      </c>
      <c r="G48" s="9" t="n"/>
    </row>
    <row r="49" ht="15.75" customHeight="1" s="30">
      <c r="A49" s="8" t="inlineStr">
        <is>
          <t>T45</t>
        </is>
      </c>
      <c r="B49" s="17" t="inlineStr">
        <is>
          <t>All</t>
        </is>
      </c>
      <c r="C49" s="9" t="inlineStr">
        <is>
          <t>Send AI-use log (tool + role for each use) to M1 for the acknowledgement section</t>
        </is>
      </c>
      <c r="D49" s="9" t="inlineStr">
        <is>
          <t>AI log</t>
        </is>
      </c>
      <c r="E49" s="7" t="n">
        <v>46319</v>
      </c>
      <c r="F49" s="11" t="inlineStr">
        <is>
          <t>Not started</t>
        </is>
      </c>
      <c r="G49" s="9" t="inlineStr">
        <is>
          <t>Missing or dishonest disclosure risks a 10-mark penalty</t>
        </is>
      </c>
    </row>
    <row r="50" ht="15.75" customHeight="1" s="30">
      <c r="A50" s="8" t="inlineStr">
        <is>
          <t>T46</t>
        </is>
      </c>
      <c r="B50" s="17" t="inlineStr">
        <is>
          <t>All</t>
        </is>
      </c>
      <c r="C50" s="9" t="inlineStr">
        <is>
          <t>Read the whole report once</t>
        </is>
      </c>
      <c r="D50" s="9" t="inlineStr">
        <is>
          <t>Read-through</t>
        </is>
      </c>
      <c r="E50" s="7" t="n">
        <v>46320</v>
      </c>
      <c r="F50" s="11" t="inlineStr">
        <is>
          <t>Not started</t>
        </is>
      </c>
      <c r="G50" s="9" t="n"/>
    </row>
    <row r="51" ht="15.75" customHeight="1" s="30">
      <c r="A51" s="8" t="inlineStr">
        <is>
          <t>T47</t>
        </is>
      </c>
      <c r="B51" s="17" t="inlineStr">
        <is>
          <t>All</t>
        </is>
      </c>
      <c r="C51" s="9" t="inlineStr">
        <is>
          <t>Timed rehearsals (10 min), then question drills (5 min); practise answering on parts you did not write</t>
        </is>
      </c>
      <c r="D51" s="9" t="inlineStr">
        <is>
          <t>Rehearsals</t>
        </is>
      </c>
      <c r="E51" s="7" t="n">
        <v>46324</v>
      </c>
      <c r="F51" s="11" t="inlineStr">
        <is>
          <t>Not started</t>
        </is>
      </c>
      <c r="G51" s="9" t="n"/>
    </row>
    <row r="52" ht="15.75" customHeight="1" s="30">
      <c r="A52" s="8" t="inlineStr">
        <is>
          <t>T48</t>
        </is>
      </c>
      <c r="B52" s="17" t="inlineStr">
        <is>
          <t>All</t>
        </is>
      </c>
      <c r="C52" s="9" t="inlineStr">
        <is>
          <t>Final run-through and buffer</t>
        </is>
      </c>
      <c r="D52" s="9" t="inlineStr">
        <is>
          <t>Ready for the presentation</t>
        </is>
      </c>
      <c r="E52" s="7" t="n">
        <v>46326</v>
      </c>
      <c r="F52" s="11" t="inlineStr">
        <is>
          <t>Not started</t>
        </is>
      </c>
      <c r="G52" s="9" t="n"/>
    </row>
    <row r="53" ht="15.75" customHeight="1" s="30">
      <c r="F53" s="22" t="n"/>
    </row>
    <row r="54" ht="15.75" customHeight="1" s="30">
      <c r="F54" s="22" t="n"/>
    </row>
    <row r="55" ht="15.75" customHeight="1" s="30">
      <c r="F55" s="22" t="n"/>
    </row>
    <row r="56" ht="15.75" customHeight="1" s="30">
      <c r="F56" s="22" t="n"/>
    </row>
    <row r="57" ht="15.75" customHeight="1" s="30">
      <c r="F57" s="22" t="n"/>
    </row>
    <row r="58" ht="15.75" customHeight="1" s="30">
      <c r="F58" s="22" t="n"/>
    </row>
    <row r="59" ht="15.75" customHeight="1" s="30">
      <c r="F59" s="22" t="n"/>
    </row>
    <row r="60" ht="15.75" customHeight="1" s="30">
      <c r="F60" s="22" t="n"/>
    </row>
    <row r="61" ht="15.75" customHeight="1" s="30">
      <c r="F61" s="22" t="n"/>
    </row>
    <row r="62" ht="15.75" customHeight="1" s="30">
      <c r="F62" s="22" t="n"/>
    </row>
    <row r="63" ht="15.75" customHeight="1" s="30">
      <c r="F63" s="22" t="n"/>
    </row>
    <row r="64" ht="15.75" customHeight="1" s="30">
      <c r="F64" s="22" t="n"/>
    </row>
    <row r="65" ht="15.75" customHeight="1" s="30">
      <c r="F65" s="22" t="n"/>
    </row>
    <row r="66" ht="15.75" customHeight="1" s="30">
      <c r="F66" s="22" t="n"/>
    </row>
    <row r="67" ht="15.75" customHeight="1" s="30">
      <c r="F67" s="22" t="n"/>
    </row>
    <row r="68" ht="15.75" customHeight="1" s="30">
      <c r="F68" s="22" t="n"/>
    </row>
    <row r="69" ht="15.75" customHeight="1" s="30">
      <c r="F69" s="22" t="n"/>
    </row>
    <row r="70" ht="15.75" customHeight="1" s="30">
      <c r="F70" s="22" t="n"/>
    </row>
    <row r="71" ht="15.75" customHeight="1" s="30">
      <c r="F71" s="22" t="n"/>
    </row>
    <row r="72" ht="15.75" customHeight="1" s="30">
      <c r="F72" s="22" t="n"/>
    </row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autoFilter ref="$A$4:$G$52"/>
  <conditionalFormatting sqref="F5:F1000">
    <cfRule type="cellIs" priority="1" operator="equal" dxfId="0">
      <formula>"Done"</formula>
    </cfRule>
    <cfRule type="cellIs" priority="2" operator="equal" dxfId="1">
      <formula>"In progress"</formula>
    </cfRule>
  </conditionalFormatting>
  <conditionalFormatting sqref="E5:E1000">
    <cfRule type="expression" priority="3" dxfId="2">
      <formula>AND($E5&lt;&gt;"",$E5&lt;TODAY(),$F5&lt;&gt;"Done")</formula>
    </cfRule>
  </conditionalFormatting>
  <dataValidations count="1">
    <dataValidation sqref="F5:F72" showDropDown="0" showInputMessage="0" showErrorMessage="0" allowBlank="1" type="list">
      <formula1>"Not started,In progress,Done"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1F3864"/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30" min="1" max="2"/>
    <col width="10" customWidth="1" style="30" min="3" max="3"/>
    <col width="80" customWidth="1" style="30" min="4" max="4"/>
    <col width="16" customWidth="1" style="30" min="5" max="5"/>
    <col width="14" customWidth="1" style="30" min="6" max="6"/>
    <col width="8.710000000000001" customWidth="1" style="30" min="7" max="26"/>
  </cols>
  <sheetData>
    <row r="1">
      <c r="A1" s="1" t="inlineStr">
        <is>
          <t>Project timeline</t>
        </is>
      </c>
    </row>
    <row r="2">
      <c r="A2" s="2" t="inlineStr">
        <is>
          <t>Submission and presentation rows are linked to the Overview sheet. Other dates are fixed.</t>
        </is>
      </c>
    </row>
    <row r="4">
      <c r="A4" s="5" t="inlineStr">
        <is>
          <t>Start</t>
        </is>
      </c>
      <c r="B4" s="5" t="inlineStr">
        <is>
          <t>End</t>
        </is>
      </c>
      <c r="C4" s="5" t="inlineStr">
        <is>
          <t>Weekday</t>
        </is>
      </c>
      <c r="D4" s="5" t="inlineStr">
        <is>
          <t>Milestone</t>
        </is>
      </c>
      <c r="E4" s="5" t="inlineStr">
        <is>
          <t>Owner(s)</t>
        </is>
      </c>
      <c r="F4" s="5" t="inlineStr">
        <is>
          <t>Days from today</t>
        </is>
      </c>
    </row>
    <row r="5">
      <c r="A5" s="7" t="n">
        <v>46316</v>
      </c>
      <c r="B5" s="7" t="n">
        <v>46316</v>
      </c>
      <c r="C5" s="8">
        <f>TEXT(A5,"ddd")</f>
        <v/>
      </c>
      <c r="D5" s="9" t="inlineStr">
        <is>
          <t>Kickoff. Confirm topic and presentation slot with instructor and the Google Sheet. M1 builds skeletons. M5 picks dataset.</t>
        </is>
      </c>
      <c r="E5" s="9" t="inlineStr">
        <is>
          <t>All; M1; M5</t>
        </is>
      </c>
      <c r="F5" s="13">
        <f>A5-TODAY()</f>
        <v/>
      </c>
    </row>
    <row r="6">
      <c r="A6" s="7" t="n">
        <v>46317</v>
      </c>
      <c r="B6" s="7" t="n">
        <v>46317</v>
      </c>
      <c r="C6" s="8">
        <f>TEXT(A6,"ddd")</f>
        <v/>
      </c>
      <c r="D6" s="9" t="inlineStr">
        <is>
          <t>M2, M3 and M4 deliver inputs (code, derivations, PINN module) to M1 by 10 PM.</t>
        </is>
      </c>
      <c r="E6" s="9" t="inlineStr">
        <is>
          <t>M2, M3, M4</t>
        </is>
      </c>
      <c r="F6" s="13">
        <f>A6-TODAY()</f>
        <v/>
      </c>
    </row>
    <row r="7">
      <c r="A7" s="7" t="n">
        <v>46318</v>
      </c>
      <c r="B7" s="7" t="n">
        <v>46318</v>
      </c>
      <c r="C7" s="8">
        <f>TEXT(A7,"ddd")</f>
        <v/>
      </c>
      <c r="D7" s="9" t="inlineStr">
        <is>
          <t>M5 delivers real-data results by 2 PM. M1 sends v1 of notebook and report by 8 PM.</t>
        </is>
      </c>
      <c r="E7" s="9" t="inlineStr">
        <is>
          <t>M5; M1</t>
        </is>
      </c>
      <c r="F7" s="13">
        <f>A7-TODAY()</f>
        <v/>
      </c>
    </row>
    <row r="8">
      <c r="A8" s="7" t="n">
        <v>46319</v>
      </c>
      <c r="B8" s="7" t="n">
        <v>46319</v>
      </c>
      <c r="C8" s="8">
        <f>TEXT(A8,"ddd")</f>
        <v/>
      </c>
      <c r="D8" s="9" t="inlineStr">
        <is>
          <t>Revision day: everyone revises own sections. Freeze at 10 PM after a clean top-to-bottom notebook rerun.</t>
        </is>
      </c>
      <c r="E8" s="9" t="inlineStr">
        <is>
          <t>All</t>
        </is>
      </c>
      <c r="F8" s="13">
        <f>A8-TODAY()</f>
        <v/>
      </c>
    </row>
    <row r="9">
      <c r="A9" s="16">
        <f>Overview!B4</f>
        <v/>
      </c>
      <c r="B9" s="16">
        <f>Overview!B4</f>
        <v/>
      </c>
      <c r="C9" s="18">
        <f>TEXT(A9,"ddd")</f>
        <v/>
      </c>
      <c r="D9" s="19" t="inlineStr">
        <is>
          <t>M1 compiles and SUBMITS (.tex, PDF, .bib, .eps figures, .ipynb). Must be at least 7 days before the presentation.</t>
        </is>
      </c>
      <c r="E9" s="19" t="inlineStr">
        <is>
          <t>M1</t>
        </is>
      </c>
      <c r="F9" s="20">
        <f>A9-TODAY()</f>
        <v/>
      </c>
    </row>
    <row r="10">
      <c r="A10" s="7" t="n">
        <v>46321</v>
      </c>
      <c r="B10" s="7" t="n">
        <v>46322</v>
      </c>
      <c r="C10" s="8">
        <f>TEXT(A10,"ddd")</f>
        <v/>
      </c>
      <c r="D10" s="9" t="inlineStr">
        <is>
          <t>Slides built (1-2 per member) and merged by M1.</t>
        </is>
      </c>
      <c r="E10" s="9" t="inlineStr">
        <is>
          <t>All; M1</t>
        </is>
      </c>
      <c r="F10" s="13">
        <f>A10-TODAY()</f>
        <v/>
      </c>
    </row>
    <row r="11">
      <c r="A11" s="7" t="n">
        <v>46323</v>
      </c>
      <c r="B11" s="7" t="n">
        <v>46324</v>
      </c>
      <c r="C11" s="8">
        <f>TEXT(A11,"ddd")</f>
        <v/>
      </c>
      <c r="D11" s="9" t="inlineStr">
        <is>
          <t>Timed rehearsals (10 min), then question drills (5 min).</t>
        </is>
      </c>
      <c r="E11" s="9" t="inlineStr">
        <is>
          <t>All</t>
        </is>
      </c>
      <c r="F11" s="13">
        <f>A11-TODAY()</f>
        <v/>
      </c>
    </row>
    <row r="12">
      <c r="A12" s="7" t="n">
        <v>46325</v>
      </c>
      <c r="B12" s="7" t="n">
        <v>46326</v>
      </c>
      <c r="C12" s="8">
        <f>TEXT(A12,"ddd")</f>
        <v/>
      </c>
      <c r="D12" s="9" t="inlineStr">
        <is>
          <t>Final run-through and buffer.</t>
        </is>
      </c>
      <c r="E12" s="9" t="inlineStr">
        <is>
          <t>All</t>
        </is>
      </c>
      <c r="F12" s="13">
        <f>A12-TODAY()</f>
        <v/>
      </c>
    </row>
    <row r="13">
      <c r="A13" s="16">
        <f>Overview!B3</f>
        <v/>
      </c>
      <c r="B13" s="16">
        <f>Overview!B3</f>
        <v/>
      </c>
      <c r="C13" s="18">
        <f>TEXT(A13,"ddd")</f>
        <v/>
      </c>
      <c r="D13" s="19" t="inlineStr">
        <is>
          <t>PRESENTATION (10 min + 5 min questions). Every member explains their contribution and answers questions.</t>
        </is>
      </c>
      <c r="E13" s="19" t="inlineStr">
        <is>
          <t>All</t>
        </is>
      </c>
      <c r="F13" s="20">
        <f>A13-TODAY()</f>
        <v/>
      </c>
    </row>
    <row r="21" ht="15.75" customHeight="1" s="30"/>
    <row r="22" ht="15.75" customHeight="1" s="30"/>
    <row r="23" ht="15.75" customHeight="1" s="30"/>
    <row r="24" ht="15.75" customHeight="1" s="30"/>
    <row r="25" ht="15.75" customHeight="1" s="30"/>
    <row r="26" ht="15.75" customHeight="1" s="30"/>
    <row r="27" ht="15.75" customHeight="1" s="30"/>
    <row r="28" ht="15.75" customHeight="1" s="30"/>
    <row r="29" ht="15.75" customHeight="1" s="30"/>
    <row r="30" ht="15.75" customHeight="1" s="30"/>
    <row r="31" ht="15.75" customHeight="1" s="30"/>
    <row r="32" ht="15.75" customHeight="1" s="30"/>
    <row r="33" ht="15.75" customHeight="1" s="30"/>
    <row r="34" ht="15.75" customHeight="1" s="30"/>
    <row r="35" ht="15.75" customHeight="1" s="30"/>
    <row r="36" ht="15.75" customHeight="1" s="30"/>
    <row r="37" ht="15.75" customHeight="1" s="30"/>
    <row r="38" ht="15.75" customHeight="1" s="30"/>
    <row r="39" ht="15.75" customHeight="1" s="30"/>
    <row r="40" ht="15.75" customHeight="1" s="30"/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1F3864"/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0" min="1" max="1"/>
    <col width="85" customWidth="1" style="30" min="2" max="2"/>
    <col width="36" customWidth="1" style="30" min="3" max="3"/>
    <col width="10" customWidth="1" style="30" min="4" max="4"/>
    <col width="14" customWidth="1" style="30" min="5" max="5"/>
    <col width="8.710000000000001" customWidth="1" style="30" min="6" max="26"/>
  </cols>
  <sheetData>
    <row r="1">
      <c r="A1" s="1" t="inlineStr">
        <is>
          <t>Submission checklist (PDF requirements)</t>
        </is>
      </c>
    </row>
    <row r="2">
      <c r="A2" s="2" t="inlineStr">
        <is>
          <t>M1 verifies every item before submitting. Change only the Status column.</t>
        </is>
      </c>
    </row>
    <row r="4">
      <c r="A4" s="5" t="inlineStr">
        <is>
          <t>#</t>
        </is>
      </c>
      <c r="B4" s="5" t="inlineStr">
        <is>
          <t>Item</t>
        </is>
      </c>
      <c r="C4" s="5" t="inlineStr">
        <is>
          <t>Source in PDF</t>
        </is>
      </c>
      <c r="D4" s="5" t="inlineStr">
        <is>
          <t>Owner</t>
        </is>
      </c>
      <c r="E4" s="5" t="inlineStr">
        <is>
          <t>Status</t>
        </is>
      </c>
    </row>
    <row r="5">
      <c r="A5" s="8" t="n">
        <v>1</v>
      </c>
      <c r="B5" s="9" t="inlineStr">
        <is>
          <t>Editable .tex file</t>
        </is>
      </c>
      <c r="C5" s="9" t="inlineStr">
        <is>
          <t>LaTeX report (3 marks)</t>
        </is>
      </c>
      <c r="D5" s="8" t="inlineStr">
        <is>
          <t>M1</t>
        </is>
      </c>
      <c r="E5" s="11" t="inlineStr">
        <is>
          <t>Done</t>
        </is>
      </c>
    </row>
    <row r="6">
      <c r="A6" s="8" t="n">
        <v>2</v>
      </c>
      <c r="B6" s="9" t="inlineStr">
        <is>
          <t>Compiled PDF</t>
        </is>
      </c>
      <c r="C6" s="9" t="inlineStr">
        <is>
          <t>LaTeX report (3 marks)</t>
        </is>
      </c>
      <c r="D6" s="8" t="inlineStr">
        <is>
          <t>M1</t>
        </is>
      </c>
      <c r="E6" s="11" t="inlineStr">
        <is>
          <t>Done</t>
        </is>
      </c>
    </row>
    <row r="7">
      <c r="A7" s="8" t="n">
        <v>3</v>
      </c>
      <c r="B7" s="9" t="inlineStr">
        <is>
          <t>References (.bib) with all data, papers and adapted material cited</t>
        </is>
      </c>
      <c r="C7" s="9" t="inlineStr">
        <is>
          <t>LaTeX report; Important Instructions 5</t>
        </is>
      </c>
      <c r="D7" s="8" t="inlineStr">
        <is>
          <t>M5</t>
        </is>
      </c>
      <c r="E7" s="11" t="inlineStr">
        <is>
          <t>Done</t>
        </is>
      </c>
    </row>
    <row r="8">
      <c r="A8" s="8" t="n">
        <v>4</v>
      </c>
      <c r="B8" s="9" t="inlineStr">
        <is>
          <t>All figure files in .eps format (no transparency)</t>
        </is>
      </c>
      <c r="C8" s="9" t="inlineStr">
        <is>
          <t>LaTeX report (3 marks)</t>
        </is>
      </c>
      <c r="D8" s="8" t="inlineStr">
        <is>
          <t>M5</t>
        </is>
      </c>
      <c r="E8" s="11" t="inlineStr">
        <is>
          <t>Done</t>
        </is>
      </c>
    </row>
    <row r="9">
      <c r="A9" s="8" t="n">
        <v>5</v>
      </c>
      <c r="B9" s="9" t="inlineStr">
        <is>
          <t>Report includes introduction, motivation, objectives, assumptions, mathematical formulation, diagrams, analysis (equilibria, stability, sensitivity), simulations, graphs, interpretation</t>
        </is>
      </c>
      <c r="C9" s="9" t="inlineStr">
        <is>
          <t>LaTeX report (3 marks)</t>
        </is>
      </c>
      <c r="D9" s="8" t="inlineStr">
        <is>
          <t>M1</t>
        </is>
      </c>
      <c r="E9" s="11" t="inlineStr">
        <is>
          <t>Done</t>
        </is>
      </c>
    </row>
    <row r="10">
      <c r="A10" s="8" t="n">
        <v>6</v>
      </c>
      <c r="B10" s="9" t="inlineStr">
        <is>
          <t>Executable .ipynb runs top to bottom without errors</t>
        </is>
      </c>
      <c r="C10" s="9" t="inlineStr">
        <is>
          <t>Jupyter Notebook (2 marks)</t>
        </is>
      </c>
      <c r="D10" s="8" t="inlineStr">
        <is>
          <t>M1</t>
        </is>
      </c>
      <c r="E10" s="11" t="inlineStr">
        <is>
          <t>Done</t>
        </is>
      </c>
    </row>
    <row r="11">
      <c r="A11" s="8" t="n">
        <v>7</v>
      </c>
      <c r="B11" s="9" t="inlineStr">
        <is>
          <t>Notebook has coloured Markdown, equations and algorithms before each code section; plots labelled with interpretations</t>
        </is>
      </c>
      <c r="C11" s="9" t="inlineStr">
        <is>
          <t>Jupyter Notebook (2 marks)</t>
        </is>
      </c>
      <c r="D11" s="8" t="inlineStr">
        <is>
          <t>M1</t>
        </is>
      </c>
      <c r="E11" s="11" t="inlineStr">
        <is>
          <t>Done</t>
        </is>
      </c>
    </row>
    <row r="12">
      <c r="A12" s="8" t="n">
        <v>8</v>
      </c>
      <c r="B12" s="9" t="inlineStr">
        <is>
          <t>All AI tools acknowledged with their roles (missing or dishonest disclosure risks a 10-mark penalty)</t>
        </is>
      </c>
      <c r="C12" s="9" t="inlineStr">
        <is>
          <t>Important Instructions 5-6</t>
        </is>
      </c>
      <c r="D12" s="8" t="inlineStr">
        <is>
          <t>All</t>
        </is>
      </c>
      <c r="E12" s="11" t="inlineStr">
        <is>
          <t>Done</t>
        </is>
      </c>
    </row>
    <row r="13">
      <c r="A13" s="8" t="n">
        <v>9</v>
      </c>
      <c r="B13" s="9" t="inlineStr">
        <is>
          <t>Submitted at least one week before the presentation</t>
        </is>
      </c>
      <c r="C13" s="9" t="inlineStr">
        <is>
          <t>Final Instructions 4</t>
        </is>
      </c>
      <c r="D13" s="8" t="inlineStr">
        <is>
          <t>M1</t>
        </is>
      </c>
      <c r="E13" s="11" t="inlineStr">
        <is>
          <t>Done</t>
        </is>
      </c>
    </row>
    <row r="14">
      <c r="A14" s="8" t="n">
        <v>10</v>
      </c>
      <c r="B14" s="9" t="inlineStr">
        <is>
          <t>Topic, date and time confirmed with instructor and entered in the Google Sheet</t>
        </is>
      </c>
      <c r="C14" s="9" t="inlineStr">
        <is>
          <t>Final Instructions 2</t>
        </is>
      </c>
      <c r="D14" s="8" t="inlineStr">
        <is>
          <t>M1</t>
        </is>
      </c>
      <c r="E14" s="11" t="inlineStr">
        <is>
          <t>Done</t>
        </is>
      </c>
    </row>
    <row r="15">
      <c r="A15" s="8" t="n">
        <v>11</v>
      </c>
      <c r="B15" s="9" t="inlineStr">
        <is>
          <t>Every member can explain every equation, method and line of code</t>
        </is>
      </c>
      <c r="C15" s="9" t="inlineStr">
        <is>
          <t>Important Instructions 4</t>
        </is>
      </c>
      <c r="D15" s="8" t="inlineStr">
        <is>
          <t>All</t>
        </is>
      </c>
      <c r="E15" s="11" t="inlineStr">
        <is>
          <t>Done</t>
        </is>
      </c>
    </row>
    <row r="21" ht="15.75" customHeight="1" s="30"/>
    <row r="22" ht="15.75" customHeight="1" s="30"/>
    <row r="23" ht="15.75" customHeight="1" s="30"/>
    <row r="24" ht="15.75" customHeight="1" s="30"/>
    <row r="25" ht="15.75" customHeight="1" s="30"/>
    <row r="26" ht="15.75" customHeight="1" s="30"/>
    <row r="27" ht="15.75" customHeight="1" s="30"/>
    <row r="28" ht="15.75" customHeight="1" s="30"/>
    <row r="29" ht="15.75" customHeight="1" s="30"/>
    <row r="30" ht="15.75" customHeight="1" s="30"/>
    <row r="31" ht="15.75" customHeight="1" s="30"/>
    <row r="32" ht="15.75" customHeight="1" s="30"/>
    <row r="33" ht="15.75" customHeight="1" s="30"/>
    <row r="34" ht="15.75" customHeight="1" s="30"/>
    <row r="35" ht="15.75" customHeight="1" s="30"/>
    <row r="36" ht="15.75" customHeight="1" s="30"/>
    <row r="37" ht="15.75" customHeight="1" s="30"/>
    <row r="38" ht="15.75" customHeight="1" s="30"/>
    <row r="39" ht="15.75" customHeight="1" s="30"/>
    <row r="40" ht="15.75" customHeight="1" s="30"/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conditionalFormatting sqref="E5:E15">
    <cfRule type="cellIs" priority="1" operator="equal" dxfId="0">
      <formula>"Done"</formula>
    </cfRule>
    <cfRule type="cellIs" priority="2" operator="equal" dxfId="1">
      <formula>"In progress"</formula>
    </cfRule>
  </conditionalFormatting>
  <dataValidations count="1">
    <dataValidation sqref="E5:E15" showDropDown="0" showInputMessage="0" showErrorMessage="0" allowBlank="1" type="list">
      <formula1>"Not started,In progress,Done"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1F3864"/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0" min="1" max="1"/>
    <col width="55" customWidth="1" style="30" min="2" max="2"/>
    <col width="75" customWidth="1" style="30" min="3" max="3"/>
    <col width="14" customWidth="1" style="30" min="4" max="5"/>
    <col width="8.710000000000001" customWidth="1" style="30" min="6" max="26"/>
  </cols>
  <sheetData>
    <row r="1">
      <c r="A1" s="1" t="inlineStr">
        <is>
          <t>Bonus-mark evidence tracker (up to 5 marks)</t>
        </is>
      </c>
    </row>
    <row r="2">
      <c r="A2" s="2" t="inlineStr">
        <is>
          <t>The PDF says using PINNs alone does not earn bonus marks; depth, independent effort and credible validation do. A negative result reported honestly is acceptable.</t>
        </is>
      </c>
    </row>
    <row r="4">
      <c r="A4" s="5" t="inlineStr">
        <is>
          <t>#</t>
        </is>
      </c>
      <c r="B4" s="5" t="inlineStr">
        <is>
          <t>PDF bonus requirement</t>
        </is>
      </c>
      <c r="C4" s="5" t="inlineStr">
        <is>
          <t>Evidence we will show</t>
        </is>
      </c>
      <c r="D4" s="5" t="inlineStr">
        <is>
          <t>Owner(s)</t>
        </is>
      </c>
      <c r="E4" s="5" t="inlineStr">
        <is>
          <t>Status</t>
        </is>
      </c>
    </row>
    <row r="5">
      <c r="A5" s="8" t="n">
        <v>1</v>
      </c>
      <c r="B5" s="9" t="inlineStr">
        <is>
          <t>Cite verifiable data sources</t>
        </is>
      </c>
      <c r="C5" s="9" t="inlineStr">
        <is>
          <t>Cited public dataset with source, access date and licence</t>
        </is>
      </c>
      <c r="D5" s="8" t="inlineStr">
        <is>
          <t>M5</t>
        </is>
      </c>
      <c r="E5" s="11" t="inlineStr">
        <is>
          <t>Done</t>
        </is>
      </c>
    </row>
    <row r="6">
      <c r="A6" s="8" t="n">
        <v>2</v>
      </c>
      <c r="B6" s="9" t="inlineStr">
        <is>
          <t>Clearly explain the advanced methodology</t>
        </is>
      </c>
      <c r="C6" s="9" t="inlineStr">
        <is>
          <t>Full PINN derivation: loss terms, autograd, optimiser (Adam then L-BFGS), loss weighting</t>
        </is>
      </c>
      <c r="D6" s="8" t="inlineStr">
        <is>
          <t>M4, M1</t>
        </is>
      </c>
      <c r="E6" s="11" t="inlineStr">
        <is>
          <t>Done</t>
        </is>
      </c>
    </row>
    <row r="7">
      <c r="A7" s="8" t="n">
        <v>3</v>
      </c>
      <c r="B7" s="9" t="inlineStr">
        <is>
          <t>Validate against independent observations or benchmark solutions</t>
        </is>
      </c>
      <c r="C7" s="9" t="inlineStr">
        <is>
          <t>Synthetic ground-truth recovery (E2-E4); tight-tolerance solve_ivp reference</t>
        </is>
      </c>
      <c r="D7" s="8" t="inlineStr">
        <is>
          <t>M4, M3</t>
        </is>
      </c>
      <c r="E7" s="11" t="inlineStr">
        <is>
          <t>Done</t>
        </is>
      </c>
    </row>
    <row r="8">
      <c r="A8" s="8" t="n">
        <v>4</v>
      </c>
      <c r="B8" s="9" t="inlineStr">
        <is>
          <t>Validate against analytic results</t>
        </is>
      </c>
      <c r="C8" s="9" t="inlineStr">
        <is>
          <t>Final-size relation check; R0 and stability analysis</t>
        </is>
      </c>
      <c r="D8" s="8" t="inlineStr">
        <is>
          <t>M2</t>
        </is>
      </c>
      <c r="E8" s="11" t="inlineStr">
        <is>
          <t>Done</t>
        </is>
      </c>
    </row>
    <row r="9">
      <c r="A9" s="8" t="n">
        <v>5</v>
      </c>
      <c r="B9" s="9" t="inlineStr">
        <is>
          <t>For prediction tasks, use data not included in training or calibration</t>
        </is>
      </c>
      <c r="C9" s="9" t="inlineStr">
        <is>
          <t>Held-out forecast window (last ~25%) never used for training or calibration</t>
        </is>
      </c>
      <c r="D9" s="8" t="inlineStr">
        <is>
          <t>M5</t>
        </is>
      </c>
      <c r="E9" s="11" t="inlineStr">
        <is>
          <t>Done</t>
        </is>
      </c>
    </row>
    <row r="10">
      <c r="A10" s="8" t="n">
        <v>6</v>
      </c>
      <c r="B10" s="9" t="inlineStr">
        <is>
          <t>Report quantitative measures (MAE, RMSE, relative error, convergence rates)</t>
        </is>
      </c>
      <c r="C10" s="9" t="inlineStr">
        <is>
          <t>MAE, RMSE, relative error and relative L2 error tables; Euler/RK4 convergence slopes (about 1 and 4)</t>
        </is>
      </c>
      <c r="D10" s="8" t="inlineStr">
        <is>
          <t>M5, M4, M3</t>
        </is>
      </c>
      <c r="E10" s="11" t="inlineStr">
        <is>
          <t>Done</t>
        </is>
      </c>
    </row>
    <row r="11">
      <c r="A11" s="8" t="n">
        <v>7</v>
      </c>
      <c r="B11" s="9" t="inlineStr">
        <is>
          <t>Provide appropriate comparison graphs</t>
        </is>
      </c>
      <c r="C11" s="9" t="inlineStr">
        <is>
          <t>PINN vs constant-beta vs piecewise-beta vs data; recovered-vs-true hidden states; convergence plot</t>
        </is>
      </c>
      <c r="D11" s="8" t="inlineStr">
        <is>
          <t>M5, M4, M3</t>
        </is>
      </c>
      <c r="E11" s="11" t="inlineStr">
        <is>
          <t>Done</t>
        </is>
      </c>
    </row>
    <row r="12">
      <c r="A12" s="8" t="n">
        <v>8</v>
      </c>
      <c r="B12" s="9" t="inlineStr">
        <is>
          <t>Explain mathematics, assumptions, implementation and limitations thoroughly</t>
        </is>
      </c>
      <c r="C12" s="9" t="inlineStr">
        <is>
          <t>Report sections on model, analysis, method and an explicit limitations section</t>
        </is>
      </c>
      <c r="D12" s="8" t="inlineStr">
        <is>
          <t>M1, M5</t>
        </is>
      </c>
      <c r="E12" s="11" t="inlineStr">
        <is>
          <t>Done</t>
        </is>
      </c>
    </row>
    <row r="13">
      <c r="A13" s="8" t="n">
        <v>9</v>
      </c>
      <c r="B13" s="9" t="inlineStr">
        <is>
          <t>Honest comparison with classical fitting</t>
        </is>
      </c>
      <c r="C13" s="9" t="inlineStr">
        <is>
          <t>If the PINN does not beat least squares, say so and explain why</t>
        </is>
      </c>
      <c r="D13" s="8" t="inlineStr">
        <is>
          <t>M5</t>
        </is>
      </c>
      <c r="E13" s="11" t="inlineStr">
        <is>
          <t>Done</t>
        </is>
      </c>
    </row>
    <row r="21" ht="15.75" customHeight="1" s="30"/>
    <row r="22" ht="15.75" customHeight="1" s="30"/>
    <row r="23" ht="15.75" customHeight="1" s="30"/>
    <row r="24" ht="15.75" customHeight="1" s="30"/>
    <row r="25" ht="15.75" customHeight="1" s="30"/>
    <row r="26" ht="15.75" customHeight="1" s="30"/>
    <row r="27" ht="15.75" customHeight="1" s="30"/>
    <row r="28" ht="15.75" customHeight="1" s="30"/>
    <row r="29" ht="15.75" customHeight="1" s="30"/>
    <row r="30" ht="15.75" customHeight="1" s="30"/>
    <row r="31" ht="15.75" customHeight="1" s="30"/>
    <row r="32" ht="15.75" customHeight="1" s="30"/>
    <row r="33" ht="15.75" customHeight="1" s="30"/>
    <row r="34" ht="15.75" customHeight="1" s="30"/>
    <row r="35" ht="15.75" customHeight="1" s="30"/>
    <row r="36" ht="15.75" customHeight="1" s="30"/>
    <row r="37" ht="15.75" customHeight="1" s="30"/>
    <row r="38" ht="15.75" customHeight="1" s="30"/>
    <row r="39" ht="15.75" customHeight="1" s="30"/>
    <row r="40" ht="15.75" customHeight="1" s="30"/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conditionalFormatting sqref="E5:E13">
    <cfRule type="cellIs" priority="1" operator="equal" dxfId="0">
      <formula>"Done"</formula>
    </cfRule>
    <cfRule type="cellIs" priority="2" operator="equal" dxfId="1">
      <formula>"In progress"</formula>
    </cfRule>
  </conditionalFormatting>
  <dataValidations count="1">
    <dataValidation sqref="E5:E13" showDropDown="0" showInputMessage="0" showErrorMessage="0" allowBlank="1" type="list">
      <formula1>"Not started,In progress,Done"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2026-10-21T16:03:05Z</dcterms:created>
  <dcterms:modified xmlns:dcterms="http://purl.org/dc/terms/" xmlns:xsi="http://www.w3.org/2001/XMLSchema-instance" xsi:type="dcterms:W3CDTF">2026-10-23T10:11:57Z</dcterms:modified>
</cp:coreProperties>
</file>